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ดี ออน เน็ต\"/>
    </mc:Choice>
  </mc:AlternateContent>
  <xr:revisionPtr revIDLastSave="0" documentId="8_{E66E02D0-7491-4DD5-A3B2-B452D5341B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รายการทั้งหมด" sheetId="1" r:id="rId1"/>
    <sheet name="สรุปตามหมวด" sheetId="2" r:id="rId2"/>
    <sheet name="สรุปรายเดือน" sheetId="3" r:id="rId3"/>
  </sheets>
  <definedNames>
    <definedName name="Group">สรุปตามหมวด!$A$2:$A$17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2" l="1"/>
  <c r="C12" i="2"/>
  <c r="B13" i="2"/>
  <c r="C13" i="2"/>
  <c r="B14" i="2"/>
  <c r="C14" i="2"/>
  <c r="B15" i="2"/>
  <c r="C15" i="2"/>
  <c r="B16" i="2"/>
  <c r="C16" i="2"/>
  <c r="B10" i="2"/>
  <c r="C10" i="2"/>
  <c r="B11" i="2"/>
  <c r="C11" i="2"/>
  <c r="C3" i="3"/>
  <c r="B3" i="3"/>
  <c r="C2" i="3"/>
  <c r="B2" i="3"/>
  <c r="C17" i="2"/>
  <c r="B17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B2" i="2"/>
  <c r="C49" i="1"/>
  <c r="B49" i="1"/>
  <c r="F48" i="1"/>
  <c r="F46" i="1"/>
  <c r="F44" i="1"/>
  <c r="F43" i="1"/>
  <c r="F45" i="1"/>
  <c r="F41" i="1"/>
  <c r="F42" i="1"/>
  <c r="F47" i="1"/>
  <c r="F19" i="1"/>
  <c r="F20" i="1"/>
  <c r="F15" i="1"/>
  <c r="F2" i="1"/>
  <c r="F16" i="1"/>
  <c r="F4" i="1"/>
  <c r="F5" i="1"/>
  <c r="F6" i="1"/>
  <c r="F7" i="1"/>
  <c r="F8" i="1"/>
  <c r="F9" i="1"/>
  <c r="F10" i="1"/>
  <c r="F11" i="1"/>
  <c r="F12" i="1"/>
  <c r="F13" i="1"/>
  <c r="F14" i="1"/>
  <c r="F17" i="1"/>
  <c r="F18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3" i="1"/>
  <c r="F49" i="1" l="1"/>
  <c r="D15" i="2"/>
  <c r="D12" i="2"/>
  <c r="D13" i="2"/>
  <c r="D16" i="2"/>
  <c r="D14" i="2"/>
  <c r="D10" i="2"/>
  <c r="D11" i="2"/>
  <c r="C4" i="3"/>
  <c r="D3" i="3"/>
  <c r="D17" i="2"/>
  <c r="D9" i="2"/>
  <c r="D6" i="2"/>
  <c r="D8" i="2"/>
  <c r="D5" i="2"/>
  <c r="D3" i="2"/>
  <c r="C18" i="2"/>
  <c r="D4" i="2"/>
  <c r="D7" i="2"/>
  <c r="D2" i="3"/>
  <c r="B4" i="3"/>
  <c r="B18" i="2"/>
  <c r="D2" i="2"/>
  <c r="D4" i="3" l="1"/>
  <c r="D18" i="2"/>
</calcChain>
</file>

<file path=xl/sharedStrings.xml><?xml version="1.0" encoding="utf-8"?>
<sst xmlns="http://schemas.openxmlformats.org/spreadsheetml/2006/main" count="177" uniqueCount="70">
  <si>
    <t>วันที่</t>
  </si>
  <si>
    <t>รายรับ (บาท)</t>
  </si>
  <si>
    <t>รายจ่าย (บาท)</t>
  </si>
  <si>
    <t>รายละเอียด</t>
  </si>
  <si>
    <t>หมวดหมู่</t>
  </si>
  <si>
    <t>ยอดสุทธิ (บาท)</t>
  </si>
  <si>
    <t>ค่าน้ำมัน</t>
  </si>
  <si>
    <t>ซ่อมบำรุงรถยนต์</t>
  </si>
  <si>
    <t>เติมน้ำมัน</t>
  </si>
  <si>
    <t>ค่าซ่อมรถ (เปลี่ยนยาง 2 เส้น)</t>
  </si>
  <si>
    <t>ค่ากล้องหน้ารถ</t>
  </si>
  <si>
    <t>อุปกรณ์รถยนต์</t>
  </si>
  <si>
    <t>ค่ากระเป๋าเครื่องมือ (ใบเล็ก)</t>
  </si>
  <si>
    <t>อุปกรณ์/เครื่องมือ</t>
  </si>
  <si>
    <t>ออฟฟิศเมท (อุปกรณ์สำนักงาน)</t>
  </si>
  <si>
    <t>สำนักงาน/เอกสาร</t>
  </si>
  <si>
    <t>เสื้อฟอร์ม 3 ตัว</t>
  </si>
  <si>
    <t>เครื่องแต่งกาย</t>
  </si>
  <si>
    <t>จดทะเบียนบริษัท</t>
  </si>
  <si>
    <t>จดทะเบียน/ค่าธรรมเนียม</t>
  </si>
  <si>
    <t>ซื้อขายอุปกรณ์</t>
  </si>
  <si>
    <t>อื่น ๆ</t>
  </si>
  <si>
    <t>อาหาร/เบ็ดเตล็ด</t>
  </si>
  <si>
    <t>ซื้อโต๊ะ + เก้าอี้สำนักงาน</t>
  </si>
  <si>
    <t>ตราประทับ</t>
  </si>
  <si>
    <t>งาน UPS/อุปกรณ์</t>
  </si>
  <si>
    <t>อุปกรณ์ช่าง (คีม)</t>
  </si>
  <si>
    <t>ส่งเอกสาร</t>
  </si>
  <si>
    <t>รวมทั้งหมด</t>
  </si>
  <si>
    <t>รายรับ</t>
  </si>
  <si>
    <t>รายจ่าย</t>
  </si>
  <si>
    <t>สุทธิ</t>
  </si>
  <si>
    <t>เดือน</t>
  </si>
  <si>
    <t>กันยายน 2569</t>
  </si>
  <si>
    <t>ตุลาคม 2569</t>
  </si>
  <si>
    <t>ทำป้ายบริษัท</t>
  </si>
  <si>
    <t>โทรศัพท์เครื่องใหม่</t>
  </si>
  <si>
    <t>กรมพัฒนาธุรกิจ</t>
  </si>
  <si>
    <t>ค่าซ่อม UPS 10K บริษัทไซเบอร์แพค</t>
  </si>
  <si>
    <t>ค่าส่งเอกสาร/พัสดุ</t>
  </si>
  <si>
    <t>ค่าเช่าบ้าน</t>
  </si>
  <si>
    <t>ค่าเช่าบ้าน+น้องAI</t>
  </si>
  <si>
    <t>เงินเดือน admin</t>
  </si>
  <si>
    <t>เงินเดือน</t>
  </si>
  <si>
    <t>เงินเดือน CEO</t>
  </si>
  <si>
    <t>ค่างวดรถ 1/36</t>
  </si>
  <si>
    <t>ให้พ่อ-แม่</t>
  </si>
  <si>
    <t>เงินกู้รถยนต์</t>
  </si>
  <si>
    <t>ซื้อ-ขาย แบตเตอร์รี่เก่า</t>
  </si>
  <si>
    <t>MA-PM บริษัท ไซเบอร์แพค</t>
  </si>
  <si>
    <t>เปลี่ยนแบตเตอรี่ บริษัท ไอแอมรูสซ่า</t>
  </si>
  <si>
    <t>เปลี่ยนแบตเตอรี่ บริษัท อีไลน์</t>
  </si>
  <si>
    <t>คอมพิวเตอร์ PC</t>
  </si>
  <si>
    <t>UPS 2 ตัว</t>
  </si>
  <si>
    <t>ค่ารองเท้า</t>
  </si>
  <si>
    <t>เครื่องดูดฝุ่น</t>
  </si>
  <si>
    <t>ค่าทางด่วน</t>
  </si>
  <si>
    <t>ใช้จ่ายทั่วไป</t>
  </si>
  <si>
    <t>Column1</t>
  </si>
  <si>
    <t>Done</t>
  </si>
  <si>
    <t>ค่าเปลี่ยนคลัตช์</t>
  </si>
  <si>
    <t>ติดฟลิม รถยนต์</t>
  </si>
  <si>
    <t>หนี้สิน</t>
  </si>
  <si>
    <t>รายได้จากกิจการ</t>
  </si>
  <si>
    <t>ค่าใช้จ่ายครัวเรือน</t>
  </si>
  <si>
    <t>ค่าเดินทาง</t>
  </si>
  <si>
    <t>เติมเงิน DTAC</t>
  </si>
  <si>
    <t>ค่าเดินทาง CEO</t>
  </si>
  <si>
    <t>เงินทุน</t>
  </si>
  <si>
    <t>ที่ยิงอุณภูมิ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</si>
</sst>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dd/mm/yyyy"/>
    <numFmt numFmtId="188" formatCode="#,##0.00;[Red]\(#,##0.00\)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2304A"/>
      </patternFill>
    </fill>
    <fill>
      <patternFill patternType="solid">
        <fgColor rgb="FF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7" fontId="0" fillId="0" borderId="0" xfId="0" applyNumberFormat="1"/>
    <xf numFmtId="188" fontId="0" fillId="0" borderId="0" xfId="0" applyNumberFormat="1"/>
    <xf numFmtId="0" fontId="1" fillId="2" borderId="0" xfId="0" applyFont="1" applyFill="1"/>
    <xf numFmtId="0" fontId="2" fillId="3" borderId="0" xfId="0" applyFont="1" applyFill="1"/>
    <xf numFmtId="188" fontId="2" fillId="3" borderId="0" xfId="0" applyNumberFormat="1" applyFont="1" applyFill="1"/>
    <xf numFmtId="188" fontId="0" fillId="3" borderId="0" xfId="0" applyNumberForma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s" displayName="Transactions" ref="A1:G48" totalsRowShown="0">
  <autoFilter ref="A1:G48" xr:uid="{00000000-000C-0000-FFFF-FFFF00000000}"/>
  <tableColumns count="7">
    <tableColumn id="1" xr3:uid="{00000000-0010-0000-0000-000001000000}" name="วันที่"/>
    <tableColumn id="2" xr3:uid="{00000000-0010-0000-0000-000002000000}" name="รายรับ (บาท)"/>
    <tableColumn id="3" xr3:uid="{00000000-0010-0000-0000-000003000000}" name="รายจ่าย (บาท)"/>
    <tableColumn id="4" xr3:uid="{00000000-0010-0000-0000-000004000000}" name="รายละเอียด"/>
    <tableColumn id="5" xr3:uid="{00000000-0010-0000-0000-000005000000}" name="หมวดหมู่"/>
    <tableColumn id="8" xr3:uid="{00000000-0010-0000-0000-000008000000}" name="ยอดสุทธิ (บาท)">
      <calculatedColumnFormula>B2-C2</calculatedColumnFormula>
    </tableColumn>
    <tableColumn id="9" xr3:uid="{FB3FC652-A62C-4655-9B96-8FBC5EF21F2A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pane ySplit="1" topLeftCell="A23" activePane="bottomLeft" state="frozen"/>
      <selection pane="bottomLeft" activeCell="E48" sqref="E48"/>
    </sheetView>
  </sheetViews>
  <sheetFormatPr defaultRowHeight="14.25"/>
  <cols>
    <col min="1" max="1" width="15" customWidth="1"/>
    <col min="2" max="3" width="18" customWidth="1"/>
    <col min="4" max="4" width="62" customWidth="1"/>
    <col min="5" max="5" width="26" customWidth="1"/>
    <col min="6" max="6" width="20" customWidth="1"/>
  </cols>
  <sheetData>
    <row r="1" spans="1:7" ht="32.1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58</v>
      </c>
    </row>
    <row r="2" spans="1:7">
      <c r="A2" s="1">
        <v>46266</v>
      </c>
      <c r="B2" s="2">
        <v>120000</v>
      </c>
      <c r="C2" s="2">
        <v>0</v>
      </c>
      <c r="D2" t="s">
        <v>47</v>
      </c>
      <c r="E2" t="s">
        <v>68</v>
      </c>
      <c r="F2" s="2">
        <f>B2-C2</f>
        <v>120000</v>
      </c>
      <c r="G2" t="s">
        <v>59</v>
      </c>
    </row>
    <row r="3" spans="1:7">
      <c r="A3" s="1">
        <v>46269</v>
      </c>
      <c r="B3" s="2">
        <v>0</v>
      </c>
      <c r="C3" s="2">
        <v>8800</v>
      </c>
      <c r="D3" t="s">
        <v>40</v>
      </c>
      <c r="E3" t="s">
        <v>15</v>
      </c>
      <c r="F3" s="2">
        <f t="shared" ref="F3:F40" si="0">B3-C3</f>
        <v>-8800</v>
      </c>
      <c r="G3" t="s">
        <v>59</v>
      </c>
    </row>
    <row r="4" spans="1:7">
      <c r="A4" s="1">
        <v>46270</v>
      </c>
      <c r="B4" s="2">
        <v>0</v>
      </c>
      <c r="C4" s="2">
        <v>1500</v>
      </c>
      <c r="D4" t="s">
        <v>6</v>
      </c>
      <c r="E4" t="s">
        <v>65</v>
      </c>
      <c r="F4" s="2">
        <f t="shared" si="0"/>
        <v>-1500</v>
      </c>
      <c r="G4" t="s">
        <v>59</v>
      </c>
    </row>
    <row r="5" spans="1:7">
      <c r="A5" s="1">
        <v>46271</v>
      </c>
      <c r="B5" s="2">
        <v>0</v>
      </c>
      <c r="C5" s="2">
        <v>2500</v>
      </c>
      <c r="D5" t="s">
        <v>61</v>
      </c>
      <c r="E5" t="s">
        <v>7</v>
      </c>
      <c r="F5" s="2">
        <f t="shared" si="0"/>
        <v>-2500</v>
      </c>
      <c r="G5" t="s">
        <v>59</v>
      </c>
    </row>
    <row r="6" spans="1:7">
      <c r="A6" s="1">
        <v>46273</v>
      </c>
      <c r="B6" s="2">
        <v>0</v>
      </c>
      <c r="C6" s="2">
        <v>1000</v>
      </c>
      <c r="D6" t="s">
        <v>8</v>
      </c>
      <c r="E6" t="s">
        <v>65</v>
      </c>
      <c r="F6" s="2">
        <f t="shared" si="0"/>
        <v>-1000</v>
      </c>
      <c r="G6" t="s">
        <v>59</v>
      </c>
    </row>
    <row r="7" spans="1:7">
      <c r="A7" s="1">
        <v>46273</v>
      </c>
      <c r="B7" s="2">
        <v>0</v>
      </c>
      <c r="C7" s="2">
        <v>3700</v>
      </c>
      <c r="D7" t="s">
        <v>9</v>
      </c>
      <c r="E7" t="s">
        <v>7</v>
      </c>
      <c r="F7" s="2">
        <f t="shared" si="0"/>
        <v>-3700</v>
      </c>
      <c r="G7" t="s">
        <v>59</v>
      </c>
    </row>
    <row r="8" spans="1:7">
      <c r="A8" s="1">
        <v>46277</v>
      </c>
      <c r="B8" s="2">
        <v>0</v>
      </c>
      <c r="C8" s="2">
        <v>1000</v>
      </c>
      <c r="D8" t="s">
        <v>8</v>
      </c>
      <c r="E8" t="s">
        <v>65</v>
      </c>
      <c r="F8" s="2">
        <f t="shared" si="0"/>
        <v>-1000</v>
      </c>
      <c r="G8" t="s">
        <v>59</v>
      </c>
    </row>
    <row r="9" spans="1:7">
      <c r="A9" s="1">
        <v>46277</v>
      </c>
      <c r="B9" s="2">
        <v>0</v>
      </c>
      <c r="C9" s="2">
        <v>2400</v>
      </c>
      <c r="D9" t="s">
        <v>10</v>
      </c>
      <c r="E9" t="s">
        <v>11</v>
      </c>
      <c r="F9" s="2">
        <f t="shared" si="0"/>
        <v>-2400</v>
      </c>
      <c r="G9" t="s">
        <v>59</v>
      </c>
    </row>
    <row r="10" spans="1:7">
      <c r="A10" s="1">
        <v>46277</v>
      </c>
      <c r="B10" s="2">
        <v>0</v>
      </c>
      <c r="C10" s="2">
        <v>280</v>
      </c>
      <c r="D10" t="s">
        <v>12</v>
      </c>
      <c r="E10" t="s">
        <v>13</v>
      </c>
      <c r="F10" s="2">
        <f t="shared" si="0"/>
        <v>-280</v>
      </c>
      <c r="G10" t="s">
        <v>59</v>
      </c>
    </row>
    <row r="11" spans="1:7">
      <c r="A11" s="1">
        <v>46277</v>
      </c>
      <c r="B11" s="2">
        <v>0</v>
      </c>
      <c r="C11" s="2">
        <v>550</v>
      </c>
      <c r="D11" t="s">
        <v>14</v>
      </c>
      <c r="E11" t="s">
        <v>15</v>
      </c>
      <c r="F11" s="2">
        <f t="shared" si="0"/>
        <v>-550</v>
      </c>
      <c r="G11" t="s">
        <v>59</v>
      </c>
    </row>
    <row r="12" spans="1:7">
      <c r="A12" s="1">
        <v>46277</v>
      </c>
      <c r="B12" s="2">
        <v>0</v>
      </c>
      <c r="C12" s="2">
        <v>1080</v>
      </c>
      <c r="D12" t="s">
        <v>16</v>
      </c>
      <c r="E12" t="s">
        <v>17</v>
      </c>
      <c r="F12" s="2">
        <f t="shared" si="0"/>
        <v>-1080</v>
      </c>
      <c r="G12" t="s">
        <v>59</v>
      </c>
    </row>
    <row r="13" spans="1:7">
      <c r="A13" s="1">
        <v>46279</v>
      </c>
      <c r="B13" s="2">
        <v>0</v>
      </c>
      <c r="C13" s="2">
        <v>1500</v>
      </c>
      <c r="D13" t="s">
        <v>8</v>
      </c>
      <c r="E13" t="s">
        <v>65</v>
      </c>
      <c r="F13" s="2">
        <f t="shared" si="0"/>
        <v>-1500</v>
      </c>
      <c r="G13" t="s">
        <v>59</v>
      </c>
    </row>
    <row r="14" spans="1:7">
      <c r="A14" s="1">
        <v>46279</v>
      </c>
      <c r="B14" s="2">
        <v>0</v>
      </c>
      <c r="C14" s="2">
        <v>3176</v>
      </c>
      <c r="D14" t="s">
        <v>18</v>
      </c>
      <c r="E14" t="s">
        <v>19</v>
      </c>
      <c r="F14" s="2">
        <f t="shared" si="0"/>
        <v>-3176</v>
      </c>
      <c r="G14" t="s">
        <v>59</v>
      </c>
    </row>
    <row r="15" spans="1:7">
      <c r="A15" s="1">
        <v>46280</v>
      </c>
      <c r="B15" s="2">
        <v>25192</v>
      </c>
      <c r="C15" s="2">
        <v>0</v>
      </c>
      <c r="D15" t="s">
        <v>49</v>
      </c>
      <c r="E15" t="s">
        <v>63</v>
      </c>
      <c r="F15" s="2">
        <f>B15-C15</f>
        <v>25192</v>
      </c>
      <c r="G15" t="s">
        <v>59</v>
      </c>
    </row>
    <row r="16" spans="1:7">
      <c r="A16" s="1">
        <v>46281</v>
      </c>
      <c r="B16" s="2">
        <v>3186</v>
      </c>
      <c r="C16" s="2">
        <v>3186</v>
      </c>
      <c r="D16" t="s">
        <v>48</v>
      </c>
      <c r="E16" t="s">
        <v>20</v>
      </c>
      <c r="F16" s="2">
        <f>B16-C16</f>
        <v>0</v>
      </c>
      <c r="G16" t="s">
        <v>59</v>
      </c>
    </row>
    <row r="17" spans="1:7">
      <c r="A17" s="1">
        <v>46282</v>
      </c>
      <c r="B17" s="2">
        <v>0</v>
      </c>
      <c r="C17" s="2">
        <v>2700</v>
      </c>
      <c r="D17" t="s">
        <v>66</v>
      </c>
      <c r="E17" t="s">
        <v>15</v>
      </c>
      <c r="F17" s="2">
        <f t="shared" si="0"/>
        <v>-2700</v>
      </c>
      <c r="G17" t="s">
        <v>59</v>
      </c>
    </row>
    <row r="18" spans="1:7">
      <c r="A18" s="1">
        <v>46283</v>
      </c>
      <c r="B18" s="2">
        <v>0</v>
      </c>
      <c r="C18" s="2">
        <v>1000</v>
      </c>
      <c r="D18" t="s">
        <v>67</v>
      </c>
      <c r="E18" t="s">
        <v>65</v>
      </c>
      <c r="F18" s="2">
        <f t="shared" si="0"/>
        <v>-1000</v>
      </c>
      <c r="G18" t="s">
        <v>59</v>
      </c>
    </row>
    <row r="19" spans="1:7">
      <c r="A19" s="1">
        <v>46283</v>
      </c>
      <c r="B19" s="2">
        <v>11928</v>
      </c>
      <c r="C19" s="2">
        <v>0</v>
      </c>
      <c r="D19" t="s">
        <v>51</v>
      </c>
      <c r="E19" t="s">
        <v>63</v>
      </c>
      <c r="F19" s="2">
        <f>B19-C19</f>
        <v>11928</v>
      </c>
      <c r="G19" t="s">
        <v>59</v>
      </c>
    </row>
    <row r="20" spans="1:7">
      <c r="A20" s="1">
        <v>46283</v>
      </c>
      <c r="B20" s="2">
        <v>45202</v>
      </c>
      <c r="C20" s="2">
        <v>0</v>
      </c>
      <c r="D20" t="s">
        <v>50</v>
      </c>
      <c r="E20" t="s">
        <v>63</v>
      </c>
      <c r="F20" s="2">
        <f>B20-C20</f>
        <v>45202</v>
      </c>
      <c r="G20" t="s">
        <v>59</v>
      </c>
    </row>
    <row r="21" spans="1:7">
      <c r="A21" s="1">
        <v>46284</v>
      </c>
      <c r="B21" s="2">
        <v>0</v>
      </c>
      <c r="C21" s="2">
        <v>3300</v>
      </c>
      <c r="D21" t="s">
        <v>23</v>
      </c>
      <c r="E21" t="s">
        <v>15</v>
      </c>
      <c r="F21" s="2">
        <f t="shared" si="0"/>
        <v>-3300</v>
      </c>
      <c r="G21" t="s">
        <v>59</v>
      </c>
    </row>
    <row r="22" spans="1:7">
      <c r="A22" s="1">
        <v>46284</v>
      </c>
      <c r="B22" s="2">
        <v>0</v>
      </c>
      <c r="C22" s="2">
        <v>570</v>
      </c>
      <c r="D22" t="s">
        <v>8</v>
      </c>
      <c r="E22" t="s">
        <v>65</v>
      </c>
      <c r="F22" s="2">
        <f t="shared" si="0"/>
        <v>-570</v>
      </c>
      <c r="G22" t="s">
        <v>59</v>
      </c>
    </row>
    <row r="23" spans="1:7">
      <c r="A23" s="1">
        <v>46286</v>
      </c>
      <c r="B23" s="2">
        <v>0</v>
      </c>
      <c r="C23" s="2">
        <v>1000</v>
      </c>
      <c r="D23" t="s">
        <v>35</v>
      </c>
      <c r="E23" t="s">
        <v>19</v>
      </c>
      <c r="F23" s="2">
        <f t="shared" si="0"/>
        <v>-1000</v>
      </c>
      <c r="G23" t="s">
        <v>59</v>
      </c>
    </row>
    <row r="24" spans="1:7">
      <c r="A24" s="1">
        <v>46286</v>
      </c>
      <c r="B24" s="2">
        <v>0</v>
      </c>
      <c r="C24" s="2">
        <v>12700</v>
      </c>
      <c r="D24" t="s">
        <v>36</v>
      </c>
      <c r="E24" t="s">
        <v>15</v>
      </c>
      <c r="F24" s="2">
        <f t="shared" si="0"/>
        <v>-12700</v>
      </c>
      <c r="G24" t="s">
        <v>59</v>
      </c>
    </row>
    <row r="25" spans="1:7">
      <c r="A25" s="1">
        <v>46286</v>
      </c>
      <c r="B25" s="2">
        <v>0</v>
      </c>
      <c r="C25" s="2">
        <v>6300</v>
      </c>
      <c r="D25" t="s">
        <v>37</v>
      </c>
      <c r="E25" t="s">
        <v>19</v>
      </c>
      <c r="F25" s="2">
        <f t="shared" si="0"/>
        <v>-6300</v>
      </c>
      <c r="G25" t="s">
        <v>59</v>
      </c>
    </row>
    <row r="26" spans="1:7">
      <c r="A26" s="1">
        <v>46287</v>
      </c>
      <c r="B26" s="2">
        <v>0</v>
      </c>
      <c r="C26" s="2">
        <v>148</v>
      </c>
      <c r="D26" t="s">
        <v>24</v>
      </c>
      <c r="E26" t="s">
        <v>15</v>
      </c>
      <c r="F26" s="2">
        <f t="shared" si="0"/>
        <v>-148</v>
      </c>
      <c r="G26" t="s">
        <v>59</v>
      </c>
    </row>
    <row r="27" spans="1:7">
      <c r="A27" s="1">
        <v>46287</v>
      </c>
      <c r="B27" s="2">
        <v>0</v>
      </c>
      <c r="C27" s="2">
        <v>15500</v>
      </c>
      <c r="D27" t="s">
        <v>38</v>
      </c>
      <c r="E27" t="s">
        <v>25</v>
      </c>
      <c r="F27" s="2">
        <f t="shared" si="0"/>
        <v>-15500</v>
      </c>
      <c r="G27" t="s">
        <v>59</v>
      </c>
    </row>
    <row r="28" spans="1:7">
      <c r="A28" s="1">
        <v>46287</v>
      </c>
      <c r="B28" s="2">
        <v>0</v>
      </c>
      <c r="C28" s="2">
        <v>1060</v>
      </c>
      <c r="D28" t="s">
        <v>8</v>
      </c>
      <c r="E28" t="s">
        <v>65</v>
      </c>
      <c r="F28" s="2">
        <f t="shared" si="0"/>
        <v>-1060</v>
      </c>
      <c r="G28" t="s">
        <v>59</v>
      </c>
    </row>
    <row r="29" spans="1:7">
      <c r="A29" s="1">
        <v>46290</v>
      </c>
      <c r="B29" s="2">
        <v>0</v>
      </c>
      <c r="C29" s="2">
        <v>489</v>
      </c>
      <c r="D29" t="s">
        <v>39</v>
      </c>
      <c r="E29" t="s">
        <v>15</v>
      </c>
      <c r="F29" s="2">
        <f t="shared" si="0"/>
        <v>-489</v>
      </c>
      <c r="G29" t="s">
        <v>59</v>
      </c>
    </row>
    <row r="30" spans="1:7">
      <c r="A30" s="1">
        <v>46290</v>
      </c>
      <c r="B30" s="2">
        <v>0</v>
      </c>
      <c r="C30" s="2">
        <v>1120</v>
      </c>
      <c r="D30" t="s">
        <v>8</v>
      </c>
      <c r="E30" t="s">
        <v>65</v>
      </c>
      <c r="F30" s="2">
        <f t="shared" si="0"/>
        <v>-1120</v>
      </c>
      <c r="G30" t="s">
        <v>59</v>
      </c>
    </row>
    <row r="31" spans="1:7">
      <c r="A31" s="1">
        <v>46295</v>
      </c>
      <c r="B31" s="2">
        <v>33000</v>
      </c>
      <c r="C31" s="2">
        <v>0</v>
      </c>
      <c r="D31" t="s">
        <v>44</v>
      </c>
      <c r="E31" t="s">
        <v>63</v>
      </c>
      <c r="F31" s="2">
        <f t="shared" si="0"/>
        <v>33000</v>
      </c>
      <c r="G31" t="s">
        <v>59</v>
      </c>
    </row>
    <row r="32" spans="1:7">
      <c r="A32" s="1">
        <v>46295</v>
      </c>
      <c r="B32" s="2">
        <v>0</v>
      </c>
      <c r="C32" s="2">
        <v>3000</v>
      </c>
      <c r="D32" t="s">
        <v>46</v>
      </c>
      <c r="E32" t="s">
        <v>64</v>
      </c>
      <c r="F32" s="2">
        <f t="shared" si="0"/>
        <v>-3000</v>
      </c>
      <c r="G32" t="s">
        <v>59</v>
      </c>
    </row>
    <row r="33" spans="1:7">
      <c r="A33" s="1">
        <v>46295</v>
      </c>
      <c r="B33" s="2">
        <v>0</v>
      </c>
      <c r="C33" s="2">
        <v>4644</v>
      </c>
      <c r="D33" t="s">
        <v>45</v>
      </c>
      <c r="E33" t="s">
        <v>62</v>
      </c>
      <c r="F33" s="2">
        <f t="shared" si="0"/>
        <v>-4644</v>
      </c>
      <c r="G33" t="s">
        <v>59</v>
      </c>
    </row>
    <row r="34" spans="1:7">
      <c r="A34" s="1">
        <v>46295</v>
      </c>
      <c r="B34" s="2">
        <v>0</v>
      </c>
      <c r="C34" s="2">
        <v>253</v>
      </c>
      <c r="D34" t="s">
        <v>26</v>
      </c>
      <c r="E34" t="s">
        <v>13</v>
      </c>
      <c r="F34" s="2">
        <f t="shared" si="0"/>
        <v>-253</v>
      </c>
      <c r="G34" t="s">
        <v>59</v>
      </c>
    </row>
    <row r="35" spans="1:7">
      <c r="A35" s="1">
        <v>46296</v>
      </c>
      <c r="B35" s="2">
        <v>0</v>
      </c>
      <c r="C35" s="2">
        <v>18000</v>
      </c>
      <c r="D35" t="s">
        <v>42</v>
      </c>
      <c r="E35" t="s">
        <v>64</v>
      </c>
      <c r="F35" s="2">
        <f t="shared" si="0"/>
        <v>-18000</v>
      </c>
      <c r="G35" t="s">
        <v>59</v>
      </c>
    </row>
    <row r="36" spans="1:7">
      <c r="A36" s="1">
        <v>46296</v>
      </c>
      <c r="B36" s="2">
        <v>0</v>
      </c>
      <c r="C36" s="2">
        <v>66</v>
      </c>
      <c r="D36" t="s">
        <v>27</v>
      </c>
      <c r="E36" t="s">
        <v>15</v>
      </c>
      <c r="F36" s="2">
        <f t="shared" si="0"/>
        <v>-66</v>
      </c>
      <c r="G36" t="s">
        <v>59</v>
      </c>
    </row>
    <row r="37" spans="1:7">
      <c r="A37" s="1">
        <v>46297</v>
      </c>
      <c r="B37" s="2">
        <v>0</v>
      </c>
      <c r="C37" s="2">
        <v>1300</v>
      </c>
      <c r="D37" t="s">
        <v>8</v>
      </c>
      <c r="E37" t="s">
        <v>65</v>
      </c>
      <c r="F37" s="2">
        <f t="shared" si="0"/>
        <v>-1300</v>
      </c>
      <c r="G37" t="s">
        <v>59</v>
      </c>
    </row>
    <row r="38" spans="1:7">
      <c r="A38" s="1">
        <v>46298</v>
      </c>
      <c r="B38" s="2">
        <v>0</v>
      </c>
      <c r="C38" s="2">
        <v>9000</v>
      </c>
      <c r="D38" t="s">
        <v>41</v>
      </c>
      <c r="E38" t="s">
        <v>15</v>
      </c>
      <c r="F38" s="2">
        <f t="shared" si="0"/>
        <v>-9000</v>
      </c>
      <c r="G38" t="s">
        <v>59</v>
      </c>
    </row>
    <row r="39" spans="1:7">
      <c r="A39" s="1">
        <v>46298</v>
      </c>
      <c r="B39" s="2">
        <v>0</v>
      </c>
      <c r="C39" s="2">
        <v>10650</v>
      </c>
      <c r="D39" t="s">
        <v>60</v>
      </c>
      <c r="E39" t="s">
        <v>7</v>
      </c>
      <c r="F39" s="2">
        <f t="shared" si="0"/>
        <v>-10650</v>
      </c>
      <c r="G39" t="s">
        <v>59</v>
      </c>
    </row>
    <row r="40" spans="1:7">
      <c r="A40" s="1">
        <v>46303</v>
      </c>
      <c r="B40" s="2">
        <v>0</v>
      </c>
      <c r="C40" s="2">
        <v>1740</v>
      </c>
      <c r="D40" t="s">
        <v>8</v>
      </c>
      <c r="E40" t="s">
        <v>65</v>
      </c>
      <c r="F40" s="2">
        <f t="shared" si="0"/>
        <v>-1740</v>
      </c>
      <c r="G40" t="s">
        <v>59</v>
      </c>
    </row>
    <row r="41" spans="1:7">
      <c r="A41" s="1">
        <v>46288</v>
      </c>
      <c r="B41" s="2">
        <v>0</v>
      </c>
      <c r="C41" s="2">
        <v>3000</v>
      </c>
      <c r="D41" t="s">
        <v>53</v>
      </c>
      <c r="E41" t="s">
        <v>25</v>
      </c>
      <c r="F41" s="2">
        <f>B41-C41</f>
        <v>-3000</v>
      </c>
      <c r="G41" t="s">
        <v>59</v>
      </c>
    </row>
    <row r="42" spans="1:7">
      <c r="A42" s="1">
        <v>46284</v>
      </c>
      <c r="B42" s="2">
        <v>0</v>
      </c>
      <c r="C42" s="2">
        <v>1400</v>
      </c>
      <c r="D42" t="s">
        <v>6</v>
      </c>
      <c r="E42" t="s">
        <v>65</v>
      </c>
      <c r="F42" s="2">
        <f>B42-C42</f>
        <v>-1400</v>
      </c>
      <c r="G42" t="s">
        <v>59</v>
      </c>
    </row>
    <row r="43" spans="1:7">
      <c r="A43" s="1">
        <v>46290</v>
      </c>
      <c r="B43" s="2">
        <v>0</v>
      </c>
      <c r="C43" s="2">
        <v>1900</v>
      </c>
      <c r="D43" t="s">
        <v>55</v>
      </c>
      <c r="E43" t="s">
        <v>13</v>
      </c>
      <c r="F43" s="2">
        <f>B43-C43</f>
        <v>-1900</v>
      </c>
      <c r="G43" t="s">
        <v>59</v>
      </c>
    </row>
    <row r="44" spans="1:7">
      <c r="A44" s="1">
        <v>46295</v>
      </c>
      <c r="B44" s="2">
        <v>0</v>
      </c>
      <c r="C44" s="2">
        <v>1500</v>
      </c>
      <c r="D44" t="s">
        <v>56</v>
      </c>
      <c r="E44" t="s">
        <v>65</v>
      </c>
      <c r="F44" s="2">
        <f>B44-C44</f>
        <v>-1500</v>
      </c>
      <c r="G44" t="s">
        <v>59</v>
      </c>
    </row>
    <row r="45" spans="1:7">
      <c r="A45" s="1">
        <v>46276</v>
      </c>
      <c r="B45" s="2">
        <v>0</v>
      </c>
      <c r="C45" s="2">
        <v>1380</v>
      </c>
      <c r="D45" t="s">
        <v>54</v>
      </c>
      <c r="E45" t="s">
        <v>17</v>
      </c>
      <c r="F45" s="2">
        <f>B45-C45</f>
        <v>-1380</v>
      </c>
      <c r="G45" t="s">
        <v>59</v>
      </c>
    </row>
    <row r="46" spans="1:7">
      <c r="A46" s="1">
        <v>46295</v>
      </c>
      <c r="B46" s="2">
        <v>0</v>
      </c>
      <c r="C46" s="2">
        <v>9400</v>
      </c>
      <c r="D46" t="s">
        <v>57</v>
      </c>
      <c r="E46" t="s">
        <v>22</v>
      </c>
      <c r="F46" s="2">
        <f>B46-C46</f>
        <v>-9400</v>
      </c>
      <c r="G46" t="s">
        <v>59</v>
      </c>
    </row>
    <row r="47" spans="1:7">
      <c r="A47" s="1">
        <v>46303</v>
      </c>
      <c r="B47" s="2">
        <v>0</v>
      </c>
      <c r="C47" s="2">
        <v>21000</v>
      </c>
      <c r="D47" t="s">
        <v>52</v>
      </c>
      <c r="E47" t="s">
        <v>15</v>
      </c>
      <c r="F47" s="2">
        <f>B47-C47</f>
        <v>-21000</v>
      </c>
      <c r="G47" t="s">
        <v>59</v>
      </c>
    </row>
    <row r="48" spans="1:7">
      <c r="A48" s="1">
        <v>46303</v>
      </c>
      <c r="B48" s="2">
        <v>0</v>
      </c>
      <c r="C48" s="2">
        <v>1317</v>
      </c>
      <c r="D48" t="s">
        <v>69</v>
      </c>
      <c r="E48" t="s">
        <v>13</v>
      </c>
      <c r="F48" s="2">
        <f>B48-C48</f>
        <v>-1317</v>
      </c>
      <c r="G48" t="s">
        <v>59</v>
      </c>
    </row>
    <row r="49" spans="1:6" ht="27.95" customHeight="1">
      <c r="A49" s="4" t="s">
        <v>28</v>
      </c>
      <c r="B49" s="6">
        <f>SUM(B2:B48)</f>
        <v>238508</v>
      </c>
      <c r="C49" s="6">
        <f>SUM(C2:C48)</f>
        <v>166109</v>
      </c>
      <c r="D49" s="4"/>
      <c r="E49" s="4"/>
      <c r="F49" s="6">
        <f>SUM(F2:F48)</f>
        <v>72399</v>
      </c>
    </row>
  </sheetData>
  <dataConsolidate/>
  <conditionalFormatting sqref="E1 E49:E1048576">
    <cfRule type="duplicateValues" dxfId="1" priority="3"/>
  </conditionalFormatting>
  <conditionalFormatting sqref="E2:E48">
    <cfRule type="duplicateValues" dxfId="0" priority="1"/>
  </conditionalFormatting>
  <dataValidations count="1">
    <dataValidation type="list" allowBlank="1" showInputMessage="1" showErrorMessage="1" sqref="E2:E48" xr:uid="{92264FE5-B643-4912-B563-871D33F3D0A7}">
      <formula1>Group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activeCell="B28" sqref="B28"/>
    </sheetView>
  </sheetViews>
  <sheetFormatPr defaultRowHeight="14.25"/>
  <cols>
    <col min="1" max="1" width="35" customWidth="1"/>
    <col min="2" max="4" width="22" customWidth="1"/>
  </cols>
  <sheetData>
    <row r="1" spans="1:4" ht="15">
      <c r="A1" s="3" t="s">
        <v>4</v>
      </c>
      <c r="B1" s="3" t="s">
        <v>29</v>
      </c>
      <c r="C1" s="3" t="s">
        <v>30</v>
      </c>
      <c r="D1" s="3" t="s">
        <v>31</v>
      </c>
    </row>
    <row r="2" spans="1:4">
      <c r="A2" t="s">
        <v>65</v>
      </c>
      <c r="B2" s="2">
        <f>SUMIF(รายการทั้งหมด!$E$2:$E$48,A2,รายการทั้งหมด!$B$2:$B$48)</f>
        <v>0</v>
      </c>
      <c r="C2" s="2">
        <f>SUMIF(รายการทั้งหมด!$E$2:$E$48,A2,รายการทั้งหมด!$C$2:$C$48)</f>
        <v>14690</v>
      </c>
      <c r="D2" s="2">
        <f t="shared" ref="D2:D17" si="0">B2-C2</f>
        <v>-14690</v>
      </c>
    </row>
    <row r="3" spans="1:4">
      <c r="A3" t="s">
        <v>7</v>
      </c>
      <c r="B3" s="2">
        <f>SUMIF(รายการทั้งหมด!$E$2:$E$48,A3,รายการทั้งหมด!$B$2:$B$48)</f>
        <v>0</v>
      </c>
      <c r="C3" s="2">
        <f>SUMIF(รายการทั้งหมด!$E$2:$E$48,A3,รายการทั้งหมด!$C$2:$C$48)</f>
        <v>16850</v>
      </c>
      <c r="D3" s="2">
        <f t="shared" si="0"/>
        <v>-16850</v>
      </c>
    </row>
    <row r="4" spans="1:4">
      <c r="A4" t="s">
        <v>11</v>
      </c>
      <c r="B4" s="2">
        <f>SUMIF(รายการทั้งหมด!$E$2:$E$48,A4,รายการทั้งหมด!$B$2:$B$48)</f>
        <v>0</v>
      </c>
      <c r="C4" s="2">
        <f>SUMIF(รายการทั้งหมด!$E$2:$E$48,A4,รายการทั้งหมด!$C$2:$C$48)</f>
        <v>2400</v>
      </c>
      <c r="D4" s="2">
        <f t="shared" si="0"/>
        <v>-2400</v>
      </c>
    </row>
    <row r="5" spans="1:4">
      <c r="A5" t="s">
        <v>13</v>
      </c>
      <c r="B5" s="2">
        <f>SUMIF(รายการทั้งหมด!$E$2:$E$48,A5,รายการทั้งหมด!$B$2:$B$48)</f>
        <v>0</v>
      </c>
      <c r="C5" s="2">
        <f>SUMIF(รายการทั้งหมด!$E$2:$E$48,A5,รายการทั้งหมด!$C$2:$C$48)</f>
        <v>3750</v>
      </c>
      <c r="D5" s="2">
        <f t="shared" si="0"/>
        <v>-3750</v>
      </c>
    </row>
    <row r="6" spans="1:4">
      <c r="A6" t="s">
        <v>15</v>
      </c>
      <c r="B6" s="2">
        <f>SUMIF(รายการทั้งหมด!$E$2:$E$48,A6,รายการทั้งหมด!$B$2:$B$48)</f>
        <v>0</v>
      </c>
      <c r="C6" s="2">
        <f>SUMIF(รายการทั้งหมด!$E$2:$E$48,A6,รายการทั้งหมด!$C$2:$C$48)</f>
        <v>58753</v>
      </c>
      <c r="D6" s="2">
        <f t="shared" si="0"/>
        <v>-58753</v>
      </c>
    </row>
    <row r="7" spans="1:4">
      <c r="A7" t="s">
        <v>17</v>
      </c>
      <c r="B7" s="2">
        <f>SUMIF(รายการทั้งหมด!$E$2:$E$48,A7,รายการทั้งหมด!$B$2:$B$48)</f>
        <v>0</v>
      </c>
      <c r="C7" s="2">
        <f>SUMIF(รายการทั้งหมด!$E$2:$E$48,A7,รายการทั้งหมด!$C$2:$C$48)</f>
        <v>2460</v>
      </c>
      <c r="D7" s="2">
        <f t="shared" si="0"/>
        <v>-2460</v>
      </c>
    </row>
    <row r="8" spans="1:4">
      <c r="A8" t="s">
        <v>19</v>
      </c>
      <c r="B8" s="2">
        <f>SUMIF(รายการทั้งหมด!$E$2:$E$48,A8,รายการทั้งหมด!$B$2:$B$48)</f>
        <v>0</v>
      </c>
      <c r="C8" s="2">
        <f>SUMIF(รายการทั้งหมด!$E$2:$E$48,A8,รายการทั้งหมด!$C$2:$C$48)</f>
        <v>10476</v>
      </c>
      <c r="D8" s="2">
        <f t="shared" si="0"/>
        <v>-10476</v>
      </c>
    </row>
    <row r="9" spans="1:4">
      <c r="A9" t="s">
        <v>20</v>
      </c>
      <c r="B9" s="2">
        <f>SUMIF(รายการทั้งหมด!$E$2:$E$48,A9,รายการทั้งหมด!$B$2:$B$48)</f>
        <v>3186</v>
      </c>
      <c r="C9" s="2">
        <f>SUMIF(รายการทั้งหมด!$E$2:$E$48,A9,รายการทั้งหมด!$C$2:$C$48)</f>
        <v>3186</v>
      </c>
      <c r="D9" s="2">
        <f t="shared" si="0"/>
        <v>0</v>
      </c>
    </row>
    <row r="10" spans="1:4">
      <c r="A10" t="s">
        <v>63</v>
      </c>
      <c r="B10" s="2">
        <f>SUMIF(รายการทั้งหมด!$E$2:$E$48,A10,รายการทั้งหมด!$B$2:$B$48)</f>
        <v>115322</v>
      </c>
      <c r="C10" s="2">
        <f>SUMIF(รายการทั้งหมด!$E$2:$E$48,A10,รายการทั้งหมด!$C$2:$C$48)</f>
        <v>0</v>
      </c>
      <c r="D10" s="2">
        <f t="shared" ref="D10:D11" si="1">B10-C10</f>
        <v>115322</v>
      </c>
    </row>
    <row r="11" spans="1:4">
      <c r="A11" t="s">
        <v>43</v>
      </c>
      <c r="B11" s="2">
        <f>SUMIF(รายการทั้งหมด!$E$2:$E$48,A11,รายการทั้งหมด!$B$2:$B$48)</f>
        <v>0</v>
      </c>
      <c r="C11" s="2">
        <f>SUMIF(รายการทั้งหมด!$E$2:$E$48,A11,รายการทั้งหมด!$C$2:$C$48)</f>
        <v>0</v>
      </c>
      <c r="D11" s="2">
        <f t="shared" si="1"/>
        <v>0</v>
      </c>
    </row>
    <row r="12" spans="1:4">
      <c r="A12" t="s">
        <v>64</v>
      </c>
      <c r="B12" s="2">
        <f>SUMIF(รายการทั้งหมด!$E$2:$E$48,A12,รายการทั้งหมด!$B$2:$B$48)</f>
        <v>0</v>
      </c>
      <c r="C12" s="2">
        <f>SUMIF(รายการทั้งหมด!$E$2:$E$48,A12,รายการทั้งหมด!$C$2:$C$48)</f>
        <v>21000</v>
      </c>
      <c r="D12" s="2">
        <f t="shared" ref="D12:D16" si="2">B12-C12</f>
        <v>-21000</v>
      </c>
    </row>
    <row r="13" spans="1:4">
      <c r="A13" t="s">
        <v>21</v>
      </c>
      <c r="B13" s="2">
        <f>SUMIF(รายการทั้งหมด!$E$2:$E$48,A13,รายการทั้งหมด!$B$2:$B$48)</f>
        <v>0</v>
      </c>
      <c r="C13" s="2">
        <f>SUMIF(รายการทั้งหมด!$E$2:$E$48,A13,รายการทั้งหมด!$C$2:$C$48)</f>
        <v>0</v>
      </c>
      <c r="D13" s="2">
        <f t="shared" si="2"/>
        <v>0</v>
      </c>
    </row>
    <row r="14" spans="1:4">
      <c r="A14" t="s">
        <v>22</v>
      </c>
      <c r="B14" s="2">
        <f>SUMIF(รายการทั้งหมด!$E$2:$E$48,A14,รายการทั้งหมด!$B$2:$B$48)</f>
        <v>0</v>
      </c>
      <c r="C14" s="2">
        <f>SUMIF(รายการทั้งหมด!$E$2:$E$48,A14,รายการทั้งหมด!$C$2:$C$48)</f>
        <v>9400</v>
      </c>
      <c r="D14" s="2">
        <f t="shared" si="2"/>
        <v>-9400</v>
      </c>
    </row>
    <row r="15" spans="1:4">
      <c r="A15" t="s">
        <v>62</v>
      </c>
      <c r="B15" s="2">
        <f>SUMIF(รายการทั้งหมด!$E$2:$E$48,A15,รายการทั้งหมด!$B$2:$B$48)</f>
        <v>0</v>
      </c>
      <c r="C15" s="2">
        <f>SUMIF(รายการทั้งหมด!$E$2:$E$48,A15,รายการทั้งหมด!$C$2:$C$48)</f>
        <v>4644</v>
      </c>
      <c r="D15" s="2">
        <f t="shared" si="2"/>
        <v>-4644</v>
      </c>
    </row>
    <row r="16" spans="1:4">
      <c r="A16" t="s">
        <v>68</v>
      </c>
      <c r="B16" s="2">
        <f>SUMIF(รายการทั้งหมด!$E$2:$E$48,A16,รายการทั้งหมด!$B$2:$B$48)</f>
        <v>120000</v>
      </c>
      <c r="C16" s="2">
        <f>SUMIF(รายการทั้งหมด!$E$2:$E$48,A16,รายการทั้งหมด!$C$2:$C$48)</f>
        <v>0</v>
      </c>
      <c r="D16" s="2">
        <f t="shared" si="2"/>
        <v>120000</v>
      </c>
    </row>
    <row r="17" spans="1:4">
      <c r="A17" t="s">
        <v>25</v>
      </c>
      <c r="B17" s="2">
        <f>SUMIF(รายการทั้งหมด!$E$2:$E$48,A17,รายการทั้งหมด!$B$2:$B$48)</f>
        <v>0</v>
      </c>
      <c r="C17" s="2">
        <f>SUMIF(รายการทั้งหมด!$E$2:$E$48,A17,รายการทั้งหมด!$C$2:$C$48)</f>
        <v>18500</v>
      </c>
      <c r="D17" s="2">
        <f t="shared" si="0"/>
        <v>-18500</v>
      </c>
    </row>
    <row r="18" spans="1:4" ht="15">
      <c r="A18" s="4" t="s">
        <v>28</v>
      </c>
      <c r="B18" s="5">
        <f>SUM(B2:B17)</f>
        <v>238508</v>
      </c>
      <c r="C18" s="5">
        <f>SUM(C2:C17)</f>
        <v>166109</v>
      </c>
      <c r="D18" s="5">
        <f>SUM(D2:D17)</f>
        <v>72399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D18" sqref="D18"/>
    </sheetView>
  </sheetViews>
  <sheetFormatPr defaultRowHeight="14.25"/>
  <cols>
    <col min="1" max="1" width="27" customWidth="1"/>
    <col min="2" max="4" width="22" customWidth="1"/>
  </cols>
  <sheetData>
    <row r="1" spans="1:4" ht="15">
      <c r="A1" s="3" t="s">
        <v>32</v>
      </c>
      <c r="B1" s="3" t="s">
        <v>29</v>
      </c>
      <c r="C1" s="3" t="s">
        <v>30</v>
      </c>
      <c r="D1" s="3" t="s">
        <v>31</v>
      </c>
    </row>
    <row r="2" spans="1:4">
      <c r="A2" t="s">
        <v>33</v>
      </c>
      <c r="B2" s="2">
        <f>SUMIFS(รายการทั้งหมด!$B$2:$B$48,รายการทั้งหมด!$A$2:$A$48,"&gt;="&amp;DATE(2026,9,1),รายการทั้งหมด!$A$2:$A$48,"&lt;"&amp;DATE(2026,10,1))</f>
        <v>238508</v>
      </c>
      <c r="C2" s="2">
        <f>SUMIFS(รายการทั้งหมด!$C$2:$C$48,รายการทั้งหมด!$A$2:$A$48,"&gt;="&amp;DATE(2026,9,1),รายการทั้งหมด!$A$2:$A$48,"&lt;"&amp;DATE(2026,10,1))</f>
        <v>103036</v>
      </c>
      <c r="D2" s="2">
        <f>B2-C2</f>
        <v>135472</v>
      </c>
    </row>
    <row r="3" spans="1:4">
      <c r="A3" t="s">
        <v>34</v>
      </c>
      <c r="B3" s="2">
        <f>SUMIFS(รายการทั้งหมด!$B$2:$B$48,รายการทั้งหมด!$A$2:$A$48,"&gt;="&amp;DATE(2026,10,1),รายการทั้งหมด!$A$2:$A$48,"&lt;"&amp;DATE(2026,11,1))</f>
        <v>0</v>
      </c>
      <c r="C3" s="2">
        <f>SUMIFS(รายการทั้งหมด!$C$2:$C$48,รายการทั้งหมด!$A$2:$A$48,"&gt;="&amp;DATE(2026,10,1),รายการทั้งหมด!$A$2:$A$48,"&lt;"&amp;DATE(2026,11,1))</f>
        <v>63073</v>
      </c>
      <c r="D3" s="2">
        <f>B3-C3</f>
        <v>-63073</v>
      </c>
    </row>
    <row r="4" spans="1:4" ht="15">
      <c r="A4" s="4" t="s">
        <v>28</v>
      </c>
      <c r="B4" s="5">
        <f>SUM(B2:B3)</f>
        <v>238508</v>
      </c>
      <c r="C4" s="5">
        <f>SUM(C2:C3)</f>
        <v>166109</v>
      </c>
      <c r="D4" s="5">
        <f>SUM(D2:D3)</f>
        <v>72399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รายการทั้งหมด</vt:lpstr>
      <vt:lpstr>สรุปตามหมวด</vt:lpstr>
      <vt:lpstr>สรุปรายเดือน</vt:lpstr>
      <vt:lpstr>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Orn Jongrak</dc:creator>
  <cp:lastModifiedBy>jongrak</cp:lastModifiedBy>
  <dcterms:created xsi:type="dcterms:W3CDTF">2026-10-09T07:05:02Z</dcterms:created>
  <dcterms:modified xsi:type="dcterms:W3CDTF">2026-10-09T07:05:02Z</dcterms:modified>
</cp:coreProperties>
</file>